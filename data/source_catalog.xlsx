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8e416e207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產品資料" sheetId="1" r:id="R0489be94b6be44a7"/>
    <x:sheet xmlns:r="http://schemas.openxmlformats.org/officeDocument/2006/relationships" name="查核說明" sheetId="2" r:id="Rd59079b5502d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17313A"/>
      <x:name val="Arial"/>
    </x:font>
    <x:font>
      <x:i/>
      <x:sz val="10"/>
      <x:color rgb="FF5F6B70"/>
      <x:name val="Arial"/>
    </x:font>
    <x:font>
      <x:b/>
      <x:sz val="10"/>
      <x:color rgb="FF29434E"/>
      <x:name val="Arial"/>
    </x:font>
    <x:font>
      <x:b/>
      <x:sz val="11"/>
      <x:color rgb="FF17313A"/>
      <x:name val="Arial"/>
    </x:font>
    <x:font>
      <x:b/>
      <x:sz val="10"/>
      <x:color rgb="FFFFFFFF"/>
      <x:name val="Arial"/>
    </x:font>
    <x:font>
      <x:sz val="10"/>
      <x:color rgb="FF263238"/>
      <x:name val="Arial"/>
    </x:font>
    <x:font>
      <x:sz val="9"/>
      <x:color rgb="FF1D5D8F"/>
      <x:name val="Arial"/>
    </x:font>
    <x:font>
      <x:sz val="9"/>
      <x:color rgb="FF5F6B70"/>
      <x:name val="Arial"/>
    </x:font>
    <x:font>
      <x:b/>
      <x:sz val="10"/>
      <x:color rgb="FF244B5A"/>
      <x:name val="Arial"/>
    </x:font>
    <x:font>
      <x:b/>
      <x:sz val="10"/>
      <x:color rgb="FF5A3F70"/>
      <x:name val="Arial"/>
    </x:font>
    <x:font>
      <x:b/>
      <x:sz val="10"/>
      <x:color rgb="FF815329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AF1F3"/>
      </x:patternFill>
    </x:fill>
    <x:fill>
      <x:patternFill patternType="solid">
        <x:fgColor rgb="FFFFFFFF"/>
      </x:patternFill>
    </x:fill>
    <x:fill>
      <x:patternFill patternType="solid">
        <x:fgColor rgb="FF365E6D"/>
      </x:patternFill>
    </x:fill>
    <x:fill>
      <x:patternFill patternType="solid">
        <x:fgColor rgb="FFE8F1F5"/>
      </x:patternFill>
    </x:fill>
    <x:fill>
      <x:patternFill patternType="solid">
        <x:fgColor rgb="FFF0EAF7"/>
      </x:patternFill>
    </x:fill>
    <x:fill>
      <x:patternFill patternType="solid">
        <x:fgColor rgb="FFFFF0DF"/>
      </x:patternFill>
    </x:fill>
  </x:fills>
  <x:borders count="6">
    <x:border/>
    <x:border>
      <x:bottom style="thin">
        <x:color rgb="FF9EB3BC"/>
      </x:bottom>
    </x:border>
    <x:border>
      <x:bottom style="medium">
        <x:color rgb="FF29434E"/>
      </x:bottom>
    </x:border>
    <x:border>
      <x:bottom style="thin">
        <x:color rgb="FFD9E2E6"/>
      </x:bottom>
    </x:border>
    <x:border>
      <x:top style="thin">
        <x:color rgb="FFD9E2E6"/>
      </x:top>
      <x:bottom style="thin">
        <x:color rgb="FFD9E2E6"/>
      </x:bottom>
    </x:border>
    <x:border>
      <x:top style="thin">
        <x:color rgb="FFD9E2E6"/>
      </x:top>
      <x:bottom style="medium">
        <x:color rgb="FF29434E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horizontal="center" vertical="top"/>
    </x:xf>
    <x:xf numFmtId="0" fontId="6" fillId="0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horizontal="center" vertical="top"/>
    </x:xf>
    <x:xf numFmtId="0" fontId="6" fillId="0" borderId="5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horizontal="center" vertical="top"/>
    </x:xf>
    <x:xf numFmtId="0" fontId="9" fillId="5" borderId="4" xfId="0" applyNumberFormat="1" applyFont="1" applyFill="1" applyBorder="1" applyAlignment="1">
      <x:alignment horizontal="center" vertical="top"/>
    </x:xf>
    <x:xf numFmtId="0" fontId="9" fillId="5" borderId="4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top"/>
    </x:xf>
    <x:xf numFmtId="0" fontId="10" fillId="6" borderId="4" xfId="0" applyNumberFormat="1" applyFont="1" applyFill="1" applyBorder="1" applyAlignment="1">
      <x:alignment horizontal="center" vertical="top"/>
    </x:xf>
    <x:xf numFmtId="0" fontId="10" fillId="6" borderId="4" xfId="0" applyNumberFormat="1" applyFont="1" applyFill="1" applyBorder="1" applyAlignment="1">
      <x:alignment horizontal="center" vertical="center"/>
    </x:xf>
    <x:xf numFmtId="0" fontId="6" fillId="7" borderId="4" xfId="0" applyNumberFormat="1" applyFont="1" applyFill="1" applyBorder="1" applyAlignment="1">
      <x:alignment horizontal="center" vertical="top"/>
    </x:xf>
    <x:xf numFmtId="0" fontId="11" fillId="7" borderId="4" xfId="0" applyNumberFormat="1" applyFont="1" applyFill="1" applyBorder="1" applyAlignment="1">
      <x:alignment horizontal="center" vertical="top"/>
    </x:xf>
    <x:xf numFmtId="0" fontId="11" fillId="7" borderId="4" xfId="0" applyNumberFormat="1" applyFont="1" applyFill="1" applyBorder="1" applyAlignment="1">
      <x:alignment horizontal="center" vertical="center"/>
    </x:xf>
    <x:xf numFmtId="0" fontId="6" fillId="7" borderId="5" xfId="0" applyNumberFormat="1" applyFont="1" applyFill="1" applyBorder="1" applyAlignment="1">
      <x:alignment horizontal="center" vertical="top"/>
    </x:xf>
    <x:xf numFmtId="0" fontId="11" fillId="7" borderId="5" xfId="0" applyNumberFormat="1" applyFont="1" applyFill="1" applyBorder="1" applyAlignment="1">
      <x:alignment horizontal="center" vertical="top"/>
    </x:xf>
    <x:xf numFmtId="0" fontId="11" fillId="7" borderId="5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1da22b0c54c74" /><Relationship Type="http://schemas.openxmlformats.org/officeDocument/2006/relationships/theme" Target="/xl/theme/theme1.xml" Id="Redf49854e7054a71" /><Relationship Type="http://schemas.openxmlformats.org/officeDocument/2006/relationships/sharedStrings" Target="/xl/sharedStrings.xml" Id="Reace0a483c2f4d36" /><Relationship Type="http://schemas.openxmlformats.org/officeDocument/2006/relationships/worksheet" Target="/xl/worksheets/sheet1.xml" Id="R0489be94b6be44a7" /><Relationship Type="http://schemas.openxmlformats.org/officeDocument/2006/relationships/worksheet" Target="/xl/worksheets/sheet2.xml" Id="Rd59079b5502d4ae3" /></Relationships>
</file>

<file path=xl/tables/table1.xml><?xml version="1.0" encoding="utf-8"?>
<x:table xmlns:x="http://schemas.openxmlformats.org/spreadsheetml/2006/main" id="1" name="RuomeifuProductsTable" displayName="RuomeifuProductsTable" ref="A7:H39" headerRowCount="1" totalsRowCount="0" totalsRowShown="0">
  <x:autoFilter ref="A7:H39"/>
  <x:tableColumns count="8">
    <x:tableColumn id="1" name="編號"/>
    <x:tableColumn id="2" name="商品分類"/>
    <x:tableColumn id="3" name="產品名稱"/>
    <x:tableColumn id="4" name="關鍵成分／材質"/>
    <x:tableColumn id="5" name="主要功能"/>
    <x:tableColumn id="6" name="官方商品連結"/>
    <x:tableColumn id="7" name="查核備註"/>
    <x:tableColumn id="8" name="照片檔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a40204304f4091" /></Relationships>
</file>

<file path=xl/worksheets/sheet1.xml><?xml version="1.0" encoding="utf-8"?>
<x:worksheet xmlns:x="http://schemas.openxmlformats.org/spreadsheetml/2006/main">
  <x:sheetPr>
    <x:tabColor rgb="FF365E6D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7" hidden="0" customWidth="1"/>
    <x:col min="2" max="2" width="12" hidden="0" customWidth="1"/>
    <x:col min="3" max="3" width="30" hidden="0" customWidth="1"/>
    <x:col min="4" max="4" width="52" hidden="0" customWidth="1"/>
    <x:col min="5" max="5" width="50" hidden="0" customWidth="1"/>
    <x:col min="6" max="6" width="31" hidden="0" customWidth="1"/>
    <x:col min="7" max="7" width="39" hidden="0" customWidth="1"/>
    <x:col min="8" max="8" width="42" hidden="0" customWidth="1"/>
  </x:cols>
  <x:sheetData>
    <x:row r="2" ht="24" customHeight="1">
      <x:c r="A2" s="1" t="str">
        <x:v>若美芙產品關鍵成分與功能</x:v>
      </x:c>
      <x:c r="B2" s="1"/>
      <x:c r="C2" s="1"/>
      <x:c r="D2" s="1"/>
      <x:c r="E2" s="1"/>
      <x:c r="F2" s="1"/>
      <x:c r="G2" s="1"/>
      <x:c r="H2" s="1"/>
    </x:row>
    <x:row r="3" ht="20" customHeight="1">
      <x:c r="A3" s="2" t="str">
        <x:v>資料日期：2026-09-17｜範圍：台灣 SHOP.COM 若美芙品牌頁目前列出的 32 項商品</x:v>
      </x:c>
      <x:c r="B3" s="2"/>
      <x:c r="C3" s="2"/>
      <x:c r="D3" s="2"/>
      <x:c r="E3" s="2"/>
      <x:c r="F3" s="2"/>
      <x:c r="G3" s="2"/>
      <x:c r="H3" s="2"/>
    </x:row>
    <x:row r="4">
      <x:c r="A4" s="3"/>
      <x:c r="B4" s="3"/>
      <x:c r="C4" s="3"/>
      <x:c r="D4" s="3"/>
      <x:c r="E4" s="3"/>
      <x:c r="F4" s="3"/>
      <x:c r="G4" s="3"/>
      <x:c r="H4" s="3"/>
    </x:row>
    <x:row r="5" ht="24" customHeight="1">
      <x:c r="A5" s="6" t="str">
        <x:v>資料筆數</x:v>
      </x:c>
      <x:c r="B5" s="9" t="n">
        <x:f>COUNTA(C8:C39)</x:f>
        <x:v>32</x:v>
      </x:c>
      <x:c r="C5" s="6" t="str">
        <x:v>單品配方</x:v>
      </x:c>
      <x:c r="D5" s="9" t="n">
        <x:f>COUNTIF(B8:B39,"單品配方")</x:f>
        <x:v>26</x:v>
      </x:c>
      <x:c r="E5" s="6" t="str">
        <x:v>組合</x:v>
      </x:c>
      <x:c r="F5" s="9" t="n">
        <x:f>COUNTIF(B8:B39,"組合")</x:f>
        <x:v>2</x:v>
      </x:c>
      <x:c r="G5" s="6" t="str">
        <x:v>工具</x:v>
      </x:c>
      <x:c r="H5" s="9" t="n">
        <x:f>COUNTIF(B8:B39,"工具")</x:f>
        <x:v>4</x:v>
      </x:c>
    </x:row>
    <x:row r="7" ht="32" customHeight="1">
      <x:c r="A7" s="22" t="str">
        <x:v>編號</x:v>
      </x:c>
      <x:c r="B7" s="22" t="str">
        <x:v>商品分類</x:v>
      </x:c>
      <x:c r="C7" s="22" t="str">
        <x:v>產品名稱</x:v>
      </x:c>
      <x:c r="D7" s="22" t="str">
        <x:v>關鍵成分／材質</x:v>
      </x:c>
      <x:c r="E7" s="22" t="str">
        <x:v>主要功能</x:v>
      </x:c>
      <x:c r="F7" s="22" t="str">
        <x:v>官方商品連結</x:v>
      </x:c>
      <x:c r="G7" s="22" t="str">
        <x:v>查核備註</x:v>
      </x:c>
      <x:c r="H7" s="22" t="str">
        <x:v>照片檔名</x:v>
      </x:c>
    </x:row>
    <x:row r="8" ht="72" customHeight="1">
      <x:c r="A8" s="23" t="n">
        <x:v>1</x:v>
      </x:c>
      <x:c r="B8" s="33" t="str">
        <x:v>單品配方</x:v>
      </x:c>
      <x:c r="C8" s="24" t="str">
        <x:v>NAD青春霜</x:v>
      </x:c>
      <x:c r="D8" s="24" t="str">
        <x:v>5%肉豆蔻醇煙酸酯、銀杏幹細胞萃取、白藜蘆醇、乳油木果油、植物角鯊烷、辛酸／癸酸甘油三酯</x:v>
      </x:c>
      <x:c r="E8" s="24" t="str">
        <x:v>支援肌膚健康的NAD路徑；保濕、舒緩、淡化乾燥細紋，維持彈性與光澤</x:v>
      </x:c>
      <x:c r="F8" s="25" t="str">
        <x:v>https://tw.shop.com/2002591897-p.xhtml</x:v>
      </x:c>
      <x:c r="G8" s="24" t="str">
        <x:v>台灣與官方海外頁交叉比對；NAD相關說明另以美國官方頁複核。</x:v>
      </x:c>
      <x:c r="H8" s="26" t="str">
        <x:v>若美芙™NAD青春霜.jpg</x:v>
      </x:c>
    </x:row>
    <x:row r="9" ht="72" customHeight="1">
      <x:c r="A9" s="23" t="n">
        <x:v>2</x:v>
      </x:c>
      <x:c r="B9" s="33" t="str">
        <x:v>單品配方</x:v>
      </x:c>
      <x:c r="C9" s="24" t="str">
        <x:v>火山泥去角質面膜</x:v>
      </x:c>
      <x:c r="D9" s="24" t="str">
        <x:v>浮石、AHA複合物、高嶺土、膨潤土、尿囊素、甜杏仁油、橄欖油、β-葡聚糖、綠茶萃取</x:v>
      </x:c>
      <x:c r="E9" s="24" t="str">
        <x:v>物理及酸類去角質、吸附多餘油脂、清潔毛孔；舒緩並改善粗糙暗沉</x:v>
      </x:c>
      <x:c r="F9" s="25" t="str">
        <x:v>https://tw.shop.com/794413354-p.xhtml</x:v>
      </x:c>
      <x:c r="G9" s="24" t="str">
        <x:v>以台灣官方商品頁為主。</x:v>
      </x:c>
      <x:c r="H9" s="26" t="str">
        <x:v>若美芙™火山泥去角質面膜.jpg</x:v>
      </x:c>
    </x:row>
    <x:row r="10" ht="72" customHeight="1">
      <x:c r="A10" s="23" t="n">
        <x:v>3</x:v>
      </x:c>
      <x:c r="B10" s="33" t="str">
        <x:v>單品配方</x:v>
      </x:c>
      <x:c r="C10" s="24" t="str">
        <x:v>維他命B3極效舒妍精華</x:v>
      </x:c>
      <x:c r="D10" s="24" t="str">
        <x:v>10%菸鹼醯胺；Aquacell®（西瓜、蘋果、扁豆萃取＋Sodium PCA＋乳酸鈉）</x:v>
      </x:c>
      <x:c r="E10" s="24" t="str">
        <x:v>保濕、控油、均勻提亮膚色、淡化細紋；減少乾燥脫屑並舒緩肌膚</x:v>
      </x:c>
      <x:c r="F10" s="25" t="str">
        <x:v>https://tw.shop.com/1894335797-p.xhtml</x:v>
      </x:c>
      <x:c r="G10" s="24" t="str">
        <x:v>台灣官方FAQ明確確認菸鹼醯胺濃度為10%。</x:v>
      </x:c>
      <x:c r="H10" s="26" t="str">
        <x:v>若美芙™維他命B3極效舒妍精華.jpg</x:v>
      </x:c>
    </x:row>
    <x:row r="11" ht="72" customHeight="1">
      <x:c r="A11" s="23" t="n">
        <x:v>4</x:v>
      </x:c>
      <x:c r="B11" s="33" t="str">
        <x:v>單品配方</x:v>
      </x:c>
      <x:c r="C11" s="24" t="str">
        <x:v>杏仁酸提亮煥膚精華液</x:v>
      </x:c>
      <x:c r="D11" s="24" t="str">
        <x:v>6%杏仁酸＋2%乳酸、Betafin® BP20、尿囊素、17種蔬果萃取</x:v>
      </x:c>
      <x:c r="E11" s="24" t="str">
        <x:v>溫和煥膚、改善粗糙與膚色不均、提亮；同時保濕、舒緩</x:v>
      </x:c>
      <x:c r="F11" s="25" t="str">
        <x:v>https://tw.shop.com/2009863737-p.xhtml</x:v>
      </x:c>
      <x:c r="G11" s="24" t="str">
        <x:v>海外頁濃度文字不同；以台灣販售版本6%杏仁酸＋2%乳酸為準。</x:v>
      </x:c>
      <x:c r="H11" s="26" t="str">
        <x:v>若美芙™杏仁酸提亮煥膚精華液.jpg</x:v>
      </x:c>
    </x:row>
    <x:row r="12" ht="72" customHeight="1">
      <x:c r="A12" s="23" t="n">
        <x:v>5</x:v>
      </x:c>
      <x:c r="B12" s="33" t="str">
        <x:v>單品配方</x:v>
      </x:c>
      <x:c r="C12" s="24" t="str">
        <x:v>長效潤澤護手身體霜－攜帶型</x:v>
      </x:c>
      <x:c r="D12" s="24" t="str">
        <x:v>乳油木果油、葵花籽油、椰子油</x:v>
      </x:c>
      <x:c r="E12" s="24" t="str">
        <x:v>長效滋潤、預防乾燥粗糙，使肌膚柔滑</x:v>
      </x:c>
      <x:c r="F12" s="25" t="str">
        <x:v>https://tw.shop.com/1986751565-p.xhtml</x:v>
      </x:c>
      <x:c r="G12" s="24" t="str">
        <x:v>與正裝核心配方相同；57g攜帶尺寸。</x:v>
      </x:c>
      <x:c r="H12" s="26" t="str">
        <x:v>若美芙™長效潤澤護手身體霜 - 攜帶型.jpg</x:v>
      </x:c>
    </x:row>
    <x:row r="13" ht="72" customHeight="1">
      <x:c r="A13" s="23" t="n">
        <x:v>6</x:v>
      </x:c>
      <x:c r="B13" s="33" t="str">
        <x:v>單品配方</x:v>
      </x:c>
      <x:c r="C13" s="24" t="str">
        <x:v>長效潤澤護手身體霜</x:v>
      </x:c>
      <x:c r="D13" s="24" t="str">
        <x:v>乳油木果油、葵花籽油、椰子油</x:v>
      </x:c>
      <x:c r="E13" s="24" t="str">
        <x:v>滋潤與封存水分、舒緩乾燥，改善身體肌膚粗糙且不易黏膩</x:v>
      </x:c>
      <x:c r="F13" s="25" t="str">
        <x:v>https://tw.shop.com/895917290-p.xhtml</x:v>
      </x:c>
      <x:c r="G13" s="24" t="str">
        <x:v>台灣頁與澳洲官方頁交叉比對核心配方。</x:v>
      </x:c>
      <x:c r="H13" s="26" t="str">
        <x:v>若美芙™長效潤澤護手身體霜.jpg</x:v>
      </x:c>
    </x:row>
    <x:row r="14" ht="72" customHeight="1">
      <x:c r="A14" s="23" t="n">
        <x:v>7</x:v>
      </x:c>
      <x:c r="B14" s="33" t="str">
        <x:v>單品配方</x:v>
      </x:c>
      <x:c r="C14" s="24" t="str">
        <x:v>藍銅胜肽活膚精華乳</x:v>
      </x:c>
      <x:c r="D14" s="24" t="str">
        <x:v>GHK-Cu藍銅胜肽、肉豆蔻醇煙酸酯、羥基積雪草苷、HAPA-5藍環章魚仿生肽、玻尿酸、維生素E、尿囊素</x:v>
      </x:c>
      <x:c r="E14" s="24" t="str">
        <x:v>緊緻、柔滑及維持彈性；舒緩、強化保濕屏障並提升肌膚光澤</x:v>
      </x:c>
      <x:c r="F14" s="25" t="str">
        <x:v>https://tw.shop.com/2026170400-p.xhtml</x:v>
      </x:c>
      <x:c r="G14" s="24" t="str">
        <x:v>以台灣官方商品頁成分與功效文字整理。</x:v>
      </x:c>
      <x:c r="H14" s="26" t="str">
        <x:v>若美芙™藍銅胜肽活膚精華乳.jpg</x:v>
      </x:c>
    </x:row>
    <x:row r="15" ht="72" customHeight="1">
      <x:c r="A15" s="23" t="n">
        <x:v>8</x:v>
      </x:c>
      <x:c r="B15" s="33" t="str">
        <x:v>單品配方</x:v>
      </x:c>
      <x:c r="C15" s="24" t="str">
        <x:v>3重玻尿酸保濕精華</x:v>
      </x:c>
      <x:c r="D15" s="24" t="str">
        <x:v>三種分子大小的玻尿酸／玻尿酸鈉</x:v>
      </x:c>
      <x:c r="E15" s="24" t="str">
        <x:v>多層次補水、柔滑與澎潤肌膚，改善乾燥造成的細紋</x:v>
      </x:c>
      <x:c r="F15" s="25" t="str">
        <x:v>https://tw.shop.com/1954670336-p.xhtml</x:v>
      </x:c>
      <x:c r="G15" s="24" t="str">
        <x:v>以台灣官方商品頁為主。</x:v>
      </x:c>
      <x:c r="H15" s="26" t="str">
        <x:v>若美芙™3重玻尿酸保濕精華.jpg</x:v>
      </x:c>
    </x:row>
    <x:row r="16" ht="72" customHeight="1">
      <x:c r="A16" s="23" t="n">
        <x:v>9</x:v>
      </x:c>
      <x:c r="B16" s="33" t="str">
        <x:v>單品配方</x:v>
      </x:c>
      <x:c r="C16" s="24" t="str">
        <x:v>胜肽賦活亮眼霜</x:v>
      </x:c>
      <x:c r="D16" s="24" t="str">
        <x:v>Eyeseryl®乙醯四胜肽-5、2%四己基癸醇抗壞血酸酯、Smarteen™植物複合物、RonaFlair® Balance Gold</x:v>
      </x:c>
      <x:c r="E16" s="24" t="str">
        <x:v>保濕及柔滑眼周；改善暗沉、細紋與疲憊外觀；礦物導光成分提供立即視覺提亮</x:v>
      </x:c>
      <x:c r="F16" s="25" t="str">
        <x:v>https://tw.shop.com/2025137839-p.xhtml</x:v>
      </x:c>
      <x:c r="G16" s="24" t="str">
        <x:v>以台灣官方商品頁為主。</x:v>
      </x:c>
      <x:c r="H16" s="26" t="str">
        <x:v>若美芙™胜肽賦活亮眼霜.jpg</x:v>
      </x:c>
    </x:row>
    <x:row r="17" ht="72" customHeight="1">
      <x:c r="A17" s="23" t="n">
        <x:v>10</x:v>
      </x:c>
      <x:c r="B17" s="33" t="str">
        <x:v>單品配方</x:v>
      </x:c>
      <x:c r="C17" s="24" t="str">
        <x:v>A醇抗皺修護精華乳</x:v>
      </x:c>
      <x:c r="D17" s="24" t="str">
        <x:v>A醇、Poly-Pore® 120 RE膠囊化A醇</x:v>
      </x:c>
      <x:c r="E17" s="24" t="str">
        <x:v>促進角質更新、改善細紋皺紋及粗糙；緩釋系統提升穩定度並減少刺激感</x:v>
      </x:c>
      <x:c r="F17" s="25" t="str">
        <x:v>https://tw.shop.com/1825031108-p.xhtml</x:v>
      </x:c>
      <x:c r="G17" s="24" t="str">
        <x:v>以台灣官方商品頁為主。</x:v>
      </x:c>
      <x:c r="H17" s="26" t="str">
        <x:v>若美芙™A醇抗皺修護精華乳.jpg</x:v>
      </x:c>
    </x:row>
    <x:row r="18" ht="72" customHeight="1">
      <x:c r="A18" s="23" t="n">
        <x:v>11</x:v>
      </x:c>
      <x:c r="B18" s="33" t="str">
        <x:v>單品配方</x:v>
      </x:c>
      <x:c r="C18" s="24" t="str">
        <x:v>極致亮白防曬乳SPF50</x:v>
      </x:c>
      <x:c r="D18" s="24" t="str">
        <x:v>Avobenzone 3%、Homosalate 10%、Octisalate 5%、Octocrylene 10%；乙基間苯二酚、Dimethicone</x:v>
      </x:c>
      <x:c r="E18" s="24" t="str">
        <x:v>SPF50 UVA／UVB防護；提亮均勻膚色；減少水分流失並使膚觸柔滑</x:v>
      </x:c>
      <x:c r="F18" s="25" t="str">
        <x:v>https://tw.shop.com/1986458528-p.xhtml</x:v>
      </x:c>
      <x:c r="G18" s="24" t="str">
        <x:v>台灣官方頁揭露防曬活性成分；非防水型，游泳或大量流汗應改用防水防曬品。</x:v>
      </x:c>
      <x:c r="H18" s="26" t="str">
        <x:v>若美芙™極致亮白防曬乳SPF50.jpg</x:v>
      </x:c>
    </x:row>
    <x:row r="19" ht="72" customHeight="1">
      <x:c r="A19" s="23" t="n">
        <x:v>12</x:v>
      </x:c>
      <x:c r="B19" s="33" t="str">
        <x:v>單品配方</x:v>
      </x:c>
      <x:c r="C19" s="24" t="str">
        <x:v>彈力新生精華液</x:v>
      </x:c>
      <x:c r="D19" s="24" t="str">
        <x:v>Juvenessence®海藻萃取、補骨脂酚、乙基間苯二酚、脂溶性維生素C、角鯊烷、乙醯葡萄糖胺、咖啡因、尿囊素、積雪草、維生素E</x:v>
      </x:c>
      <x:c r="E19" s="24" t="str">
        <x:v>緊緻柔滑、淡化細紋；提亮均勻膚色、保濕與支援肌膚屏障</x:v>
      </x:c>
      <x:c r="F19" s="25" t="str">
        <x:v>https://tw.shop.com/794413355-p.xhtml</x:v>
      </x:c>
      <x:c r="G19" s="24" t="str">
        <x:v>以台灣官方商品頁為主。</x:v>
      </x:c>
      <x:c r="H19" s="26" t="str">
        <x:v>若美芙™彈力新生精華液.jpg</x:v>
      </x:c>
    </x:row>
    <x:row r="20" ht="72" customHeight="1">
      <x:c r="A20" s="23" t="n">
        <x:v>13</x:v>
      </x:c>
      <x:c r="B20" s="33" t="str">
        <x:v>單品配方</x:v>
      </x:c>
      <x:c r="C20" s="24" t="str">
        <x:v>賦活煥顏精華油</x:v>
      </x:c>
      <x:c r="D20" s="24" t="str">
        <x:v>二甲基甲氧基苯並二氫吡喃醇、葵花籽油、酪梨油、葡萄籽油、杏桃核油</x:v>
      </x:c>
      <x:c r="E20" s="24" t="str">
        <x:v>滋養、鎖水、抗環境氧化壓力；改善暗沉及乾燥紋，使肌膚柔潤有光澤</x:v>
      </x:c>
      <x:c r="F20" s="25" t="str">
        <x:v>https://tw.shop.com/1943471513-p.xhtml</x:v>
      </x:c>
      <x:c r="G20" s="24" t="str">
        <x:v>以台灣官方商品頁為主。</x:v>
      </x:c>
      <x:c r="H20" s="26" t="str">
        <x:v>若美芙™賦活煥顏精華油.jpg</x:v>
      </x:c>
    </x:row>
    <x:row r="21" ht="72" customHeight="1">
      <x:c r="A21" s="23" t="n">
        <x:v>14</x:v>
      </x:c>
      <x:c r="B21" s="33" t="str">
        <x:v>單品配方</x:v>
      </x:c>
      <x:c r="C21" s="24" t="str">
        <x:v>煥采活力果凍眼膜</x:v>
      </x:c>
      <x:c r="D21" s="24" t="str">
        <x:v>菸鹼醯胺、尿囊素、甘油、玻尿酸、咖啡因</x:v>
      </x:c>
      <x:c r="E21" s="24" t="str">
        <x:v>冰涼舒緩、補水柔滑；提亮眼下暗沉並改善疲憊外觀</x:v>
      </x:c>
      <x:c r="F21" s="25" t="str">
        <x:v>https://tw.shop.com/1898526197-p.xhtml</x:v>
      </x:c>
      <x:c r="G21" s="24" t="str">
        <x:v>以台灣官方商品頁為主。</x:v>
      </x:c>
      <x:c r="H21" s="26" t="str">
        <x:v>若美芙™煥采活力果凍眼膜.jpg</x:v>
      </x:c>
    </x:row>
    <x:row r="22" ht="72" customHeight="1">
      <x:c r="A22" s="23" t="n">
        <x:v>15</x:v>
      </x:c>
      <x:c r="B22" s="33" t="str">
        <x:v>單品配方</x:v>
      </x:c>
      <x:c r="C22" s="24" t="str">
        <x:v>維他命C美白緊緻精華液</x:v>
      </x:c>
      <x:c r="D22" s="24" t="str">
        <x:v>10%抗壞血酸；甘油葡糖苷、Ectoin</x:v>
      </x:c>
      <x:c r="E22" s="24" t="str">
        <x:v>抗氧化、提亮及均勻膚色；淡化細紋與色斑外觀並增加保濕度</x:v>
      </x:c>
      <x:c r="F22" s="25" t="str">
        <x:v>https://tw.shop.com/1850139959-p.xhtml</x:v>
      </x:c>
      <x:c r="G22" s="24" t="str">
        <x:v>台灣官方FAQ明確確認抗壞血酸濃度為10%；美國官方頁交叉複核。</x:v>
      </x:c>
      <x:c r="H22" s="26" t="str">
        <x:v>若美芙™維他命C美白緊緻精華液.jpg</x:v>
      </x:c>
    </x:row>
    <x:row r="23" ht="72" customHeight="1">
      <x:c r="A23" s="23" t="n">
        <x:v>16</x:v>
      </x:c>
      <x:c r="B23" s="33" t="str">
        <x:v>單品配方</x:v>
      </x:c>
      <x:c r="C23" s="24" t="str">
        <x:v>青春抗皺生物纖維面膜</x:v>
      </x:c>
      <x:c r="D23" s="24" t="str">
        <x:v>Sytenol® A補骨脂酚、HAPA-5仿生肽、生物纖維載體</x:v>
      </x:c>
      <x:c r="E23" s="24" t="str">
        <x:v>密集補水、舒緩及支援屏障；調理油脂、均勻膚色並改善老化外觀</x:v>
      </x:c>
      <x:c r="F23" s="25" t="str">
        <x:v>https://tw.shop.com/1986751633-p.xhtml</x:v>
      </x:c>
      <x:c r="G23" s="24" t="str">
        <x:v>以台灣官方商品頁為主。</x:v>
      </x:c>
      <x:c r="H23" s="26" t="str">
        <x:v>若美芙™青春抗皺生物纖維面膜.jpg</x:v>
      </x:c>
    </x:row>
    <x:row r="24" ht="72" customHeight="1">
      <x:c r="A24" s="23" t="n">
        <x:v>17</x:v>
      </x:c>
      <x:c r="B24" s="33" t="str">
        <x:v>單品配方</x:v>
      </x:c>
      <x:c r="C24" s="24" t="str">
        <x:v>亮妍保濕化妝水</x:v>
      </x:c>
      <x:c r="D24" s="24" t="str">
        <x:v>乳酸、尿囊素；配方另含Sodium PCA、柳樹皮、蘆薈等</x:v>
      </x:c>
      <x:c r="E24" s="24" t="str">
        <x:v>溫和去除老廢角質及殘餘油脂；保濕、舒緩並改善粗糙暗沉</x:v>
      </x:c>
      <x:c r="F24" s="25" t="str">
        <x:v>https://tw.shop.com/895917293-p.xhtml</x:v>
      </x:c>
      <x:c r="G24" s="24" t="str">
        <x:v>台灣頁與美國官方頁交叉比對。</x:v>
      </x:c>
      <x:c r="H24" s="26" t="str">
        <x:v>若美芙™亮妍保濕化妝水.jpg</x:v>
      </x:c>
    </x:row>
    <x:row r="25" ht="72" customHeight="1">
      <x:c r="A25" s="23" t="n">
        <x:v>18</x:v>
      </x:c>
      <x:c r="B25" s="33" t="str">
        <x:v>單品配方</x:v>
      </x:c>
      <x:c r="C25" s="24" t="str">
        <x:v>紅妍保濕水凝霜（蝦紅素）</x:v>
      </x:c>
      <x:c r="D25" s="24" t="str">
        <x:v>AstaReal®蝦紅素、Ceramosides HP神經醯胺脂質、AesthiGel紅藻多醣、PhytoSpherix®肝醣</x:v>
      </x:c>
      <x:c r="E25" s="24" t="str">
        <x:v>抗氧化、密集保濕、維持屏障；提升光澤與柔滑度，淡化乾燥細紋</x:v>
      </x:c>
      <x:c r="F25" s="25" t="str">
        <x:v>https://tw.shop.com/1875095385-p.xhtml</x:v>
      </x:c>
      <x:c r="G25" s="24" t="str">
        <x:v>以台灣官方商品頁為主。</x:v>
      </x:c>
      <x:c r="H25" s="26" t="str">
        <x:v>若美芙™紅妍保濕水凝霜(蝦紅素).jpg</x:v>
      </x:c>
    </x:row>
    <x:row r="26" ht="72" customHeight="1">
      <x:c r="A26" s="23" t="n">
        <x:v>19</x:v>
      </x:c>
      <x:c r="B26" s="33" t="str">
        <x:v>單品配方</x:v>
      </x:c>
      <x:c r="C26" s="24" t="str">
        <x:v>清爽潔膚凝膠</x:v>
      </x:c>
      <x:c r="D26" s="24" t="str">
        <x:v>黃瓜萃取；官方頁未另外點名主要清潔界面活性劑</x:v>
      </x:c>
      <x:c r="E26" s="24" t="str">
        <x:v>洗除污垢與多餘油脂、清新並調理肌膚</x:v>
      </x:c>
      <x:c r="F26" s="25" t="str">
        <x:v>https://tw.shop.com/1974082124-p.xhtml</x:v>
      </x:c>
      <x:c r="G26" s="24" t="str">
        <x:v>未推測官方頁未列出的界面活性劑。</x:v>
      </x:c>
      <x:c r="H26" s="26" t="str">
        <x:v>若美芙™清爽潔膚凝膠.jpg</x:v>
      </x:c>
    </x:row>
    <x:row r="27" ht="72" customHeight="1">
      <x:c r="A27" s="23" t="n">
        <x:v>20</x:v>
      </x:c>
      <x:c r="B27" s="33" t="str">
        <x:v>單品配方</x:v>
      </x:c>
      <x:c r="C27" s="24" t="str">
        <x:v>超導激活精華液</x:v>
      </x:c>
      <x:c r="D27" s="24" t="str">
        <x:v>Zanthalene®花椒果萃取、Neodermyl®銅胺基酸複合物、Liftonin®-Xpress、CeraFluid神經醯胺3</x:v>
      </x:c>
      <x:c r="E27" s="24" t="str">
        <x:v>提供暫時性的立即緊緻外觀、撫平細紋；增加豐潤度、保濕及強化屏障</x:v>
      </x:c>
      <x:c r="F27" s="25" t="str">
        <x:v>https://tw.shop.com/1167078858-p.xhtml</x:v>
      </x:c>
      <x:c r="G27" s="24" t="str">
        <x:v>以台灣官方商品頁為主。</x:v>
      </x:c>
      <x:c r="H27" s="26" t="str">
        <x:v>若美芙™超導激活精華液.jpg</x:v>
      </x:c>
    </x:row>
    <x:row r="28" ht="72" customHeight="1">
      <x:c r="A28" s="23" t="n">
        <x:v>21</x:v>
      </x:c>
      <x:c r="B28" s="33" t="str">
        <x:v>單品配方</x:v>
      </x:c>
      <x:c r="C28" s="24" t="str">
        <x:v>清新保濕蘆薈霜</x:v>
      </x:c>
      <x:c r="D28" s="24" t="str">
        <x:v>甘油、庫拉索蘆薈葉汁、玻尿酸鈉</x:v>
      </x:c>
      <x:c r="E28" s="24" t="str">
        <x:v>輕盈保濕、舒緩乾燥或刮鬍後不適，維持柔滑與彈性</x:v>
      </x:c>
      <x:c r="F28" s="25" t="str">
        <x:v>https://tw.shop.com/1974082156-p.xhtml</x:v>
      </x:c>
      <x:c r="G28" s="24" t="str">
        <x:v>以台灣官方商品頁為主。</x:v>
      </x:c>
      <x:c r="H28" s="26" t="str">
        <x:v>若美芙™清新保濕蘆薈霜.jpg</x:v>
      </x:c>
    </x:row>
    <x:row r="29" ht="72" customHeight="1">
      <x:c r="A29" s="23" t="n">
        <x:v>22</x:v>
      </x:c>
      <x:c r="B29" s="33" t="str">
        <x:v>單品配方</x:v>
      </x:c>
      <x:c r="C29" s="24" t="str">
        <x:v>美白活膚雙效青春露</x:v>
      </x:c>
      <x:c r="D29" s="24" t="str">
        <x:v>蘆薈葉汁、3-O-乙基抗壞血酸、酵母發酵物＋葡萄萃取＋精胺酸</x:v>
      </x:c>
      <x:c r="E29" s="24" t="str">
        <x:v>保濕舒緩、提亮均勻膚色；促進溫和角質更新，使膚觸細緻並改善毛孔外觀</x:v>
      </x:c>
      <x:c r="F29" s="25" t="str">
        <x:v>https://tw.shop.com/1983872407-p.xhtml</x:v>
      </x:c>
      <x:c r="G29" s="24" t="str">
        <x:v>以台灣官方商品頁為主。</x:v>
      </x:c>
      <x:c r="H29" s="26" t="str">
        <x:v>若美芙™美白活膚雙效青春露.jpg</x:v>
      </x:c>
    </x:row>
    <x:row r="30" ht="72" customHeight="1">
      <x:c r="A30" s="23" t="n">
        <x:v>23</x:v>
      </x:c>
      <x:c r="B30" s="33" t="str">
        <x:v>單品配方</x:v>
      </x:c>
      <x:c r="C30" s="24" t="str">
        <x:v>活顏保濕噴霧／舒緩爽膚水</x:v>
      </x:c>
      <x:c r="D30" s="24" t="str">
        <x:v>Reversalys 30（角叉菜膠鈉＋叉珊藻萃取）、CM-Glucan® β-葡聚糖衍生物</x:v>
      </x:c>
      <x:c r="E30" s="24" t="str">
        <x:v>隨時補水、舒緩並提升緊緻感；改善乾燥細紋與疲倦暗沉外觀</x:v>
      </x:c>
      <x:c r="F30" s="25" t="str">
        <x:v>https://tw.shop.com/1966076058-p.xhtml</x:v>
      </x:c>
      <x:c r="G30" s="24" t="str">
        <x:v>以台灣官方商品頁為主。</x:v>
      </x:c>
      <x:c r="H30" s="26" t="str">
        <x:v>若美芙™活顏保濕噴霧（舒緩爽膚水）.jpg</x:v>
      </x:c>
    </x:row>
    <x:row r="31" ht="72" customHeight="1">
      <x:c r="A31" s="23" t="n">
        <x:v>24</x:v>
      </x:c>
      <x:c r="B31" s="33" t="str">
        <x:v>單品配方</x:v>
      </x:c>
      <x:c r="C31" s="24" t="str">
        <x:v>密集逆齡霜</x:v>
      </x:c>
      <x:c r="D31" s="24" t="str">
        <x:v>Matrixyl Synthe’6™胜肽複合物、補骨脂酚、Granactive AR-1423、甘油、乙醯葡萄糖胺、玻尿酸鈉、維生素E</x:v>
      </x:c>
      <x:c r="E31" s="24" t="str">
        <x:v>高保濕修護、緊緻與淡化皺紋外觀；改善暗沉與膚色不均</x:v>
      </x:c>
      <x:c r="F31" s="25" t="str">
        <x:v>https://tw.shop.com/794413353-p.xhtml</x:v>
      </x:c>
      <x:c r="G31" s="24" t="str">
        <x:v>以台灣官方商品頁為主。</x:v>
      </x:c>
      <x:c r="H31" s="26" t="str">
        <x:v>若美芙™密集逆齡霜.jpg</x:v>
      </x:c>
    </x:row>
    <x:row r="32" ht="72" customHeight="1">
      <x:c r="A32" s="23" t="n">
        <x:v>25</x:v>
      </x:c>
      <x:c r="B32" s="33" t="str">
        <x:v>單品配方</x:v>
      </x:c>
      <x:c r="C32" s="24" t="str">
        <x:v>淡斑淨白液</x:v>
      </x:c>
      <x:c r="D32" s="24" t="str">
        <x:v>Illumiscin®（橄欖葉＋維生素C醣苷＋鋅）、Synovea® HR乙基間苯二酚、乙醯葡萄糖胺、尿囊素、紅沒藥醇、玻尿酸鈉、維生素E</x:v>
      </x:c>
      <x:c r="E32" s="24" t="str">
        <x:v>淡化色斑與暗沉、均勻提亮；保濕、舒緩並支援抗氧化防護</x:v>
      </x:c>
      <x:c r="F32" s="25" t="str">
        <x:v>https://tw.shop.com/794337169-p.xhtml</x:v>
      </x:c>
      <x:c r="G32" s="24" t="str">
        <x:v>以台灣官方商品頁為主。</x:v>
      </x:c>
      <x:c r="H32" s="26" t="str">
        <x:v>若美芙™淡斑淨白液.jpg</x:v>
      </x:c>
    </x:row>
    <x:row r="33" ht="72" customHeight="1">
      <x:c r="A33" s="23" t="n">
        <x:v>26</x:v>
      </x:c>
      <x:c r="B33" s="33" t="str">
        <x:v>單品配方</x:v>
      </x:c>
      <x:c r="C33" s="24" t="str">
        <x:v>極致美白淡斑霜</x:v>
      </x:c>
      <x:c r="D33" s="24" t="str">
        <x:v>傳明酸、壬二酸二甘胺酸鉀、先進保濕複合物、補骨脂酚</x:v>
      </x:c>
      <x:c r="E33" s="24" t="str">
        <x:v>淡化色斑及膚色不均、提亮；調理油脂、保濕並維持肌膚屏障</x:v>
      </x:c>
      <x:c r="F33" s="25" t="str">
        <x:v>https://tw.shop.com/1478424665-p.xhtml</x:v>
      </x:c>
      <x:c r="G33" s="24" t="str">
        <x:v>以台灣官方商品頁為主。</x:v>
      </x:c>
      <x:c r="H33" s="26" t="str">
        <x:v>若美芙™極致美白淡斑霜.jpg</x:v>
      </x:c>
    </x:row>
    <x:row r="34" ht="72" customHeight="1">
      <x:c r="A34" s="23" t="n">
        <x:v>27</x:v>
      </x:c>
      <x:c r="B34" s="36" t="str">
        <x:v>組合</x:v>
      </x:c>
      <x:c r="C34" s="24" t="str">
        <x:v>雙重淡斑美白組</x:v>
      </x:c>
      <x:c r="D34" s="24" t="str">
        <x:v>淡斑淨白液＋極致美白淡斑霜；涵蓋Illumiscin、乙基間苯二酚、傳明酸、壬二酸酯、補骨脂酚等</x:v>
      </x:c>
      <x:c r="E34" s="24" t="str">
        <x:v>以精華液加乳霜雙步驟改善色斑、暗沉與膚色不均，同時保濕舒緩</x:v>
      </x:c>
      <x:c r="F34" s="25" t="str">
        <x:v>https://tw.shop.com/1531559414-p.xhtml</x:v>
      </x:c>
      <x:c r="G34" s="24" t="str">
        <x:v>組合商品，不視為獨立配方。</x:v>
      </x:c>
      <x:c r="H34" s="26" t="str">
        <x:v>若美芙™雙重淡斑美白組.jpg</x:v>
      </x:c>
    </x:row>
    <x:row r="35" ht="72" customHeight="1">
      <x:c r="A35" s="23" t="n">
        <x:v>28</x:v>
      </x:c>
      <x:c r="B35" s="36" t="str">
        <x:v>組合</x:v>
      </x:c>
      <x:c r="C35" s="24" t="str">
        <x:v>亮妍超值組</x:v>
      </x:c>
      <x:c r="D35" s="24" t="str">
        <x:v>清爽潔膚凝膠＋亮妍保濕化妝水＋密集逆齡霜</x:v>
      </x:c>
      <x:c r="E35" s="24" t="str">
        <x:v>完整的清潔、溫和代謝角質、保濕修護流程</x:v>
      </x:c>
      <x:c r="F35" s="25" t="str">
        <x:v>https://tw.shop.com/925879837-p.xhtml</x:v>
      </x:c>
      <x:c r="G35" s="24" t="str">
        <x:v>組合商品，不視為獨立配方。</x:v>
      </x:c>
      <x:c r="H35" s="26" t="str">
        <x:v>若美芙™亮妍超值組.jpg</x:v>
      </x:c>
    </x:row>
    <x:row r="36" ht="72" customHeight="1">
      <x:c r="A36" s="23" t="n">
        <x:v>29</x:v>
      </x:c>
      <x:c r="B36" s="39" t="str">
        <x:v>工具</x:v>
      </x:c>
      <x:c r="C36" s="24" t="str">
        <x:v>粉晶兩用按摩滾輪</x:v>
      </x:c>
      <x:c r="D36" s="24" t="str">
        <x:v>天然粉晶、大小雙頭設計</x:v>
      </x:c>
      <x:c r="E36" s="24" t="str">
        <x:v>按摩臉部與頸部、帶來冰涼舒適感，協助保養品均勻延展</x:v>
      </x:c>
      <x:c r="F36" s="25" t="str">
        <x:v>https://tw.shop.com/1765357160-p.xhtml</x:v>
      </x:c>
      <x:c r="G36" s="24" t="str">
        <x:v>採用實際石材名稱「粉晶」；不沿用頁面中不一致的泛稱。</x:v>
      </x:c>
      <x:c r="H36" s="26" t="str">
        <x:v>若美芙™粉晶兩用按摩滾輪.jpg</x:v>
      </x:c>
    </x:row>
    <x:row r="37" ht="72" customHeight="1">
      <x:c r="A37" s="23" t="n">
        <x:v>30</x:v>
      </x:c>
      <x:c r="B37" s="39" t="str">
        <x:v>工具</x:v>
      </x:c>
      <x:c r="C37" s="24" t="str">
        <x:v>保養刷具組2026美安亞太區年度大會限時特惠品</x:v>
      </x:c>
      <x:c r="D37" s="24" t="str">
        <x:v>4支刷具；柔軟合成纖維刷毛＋矽膠面膜刷</x:v>
      </x:c>
      <x:c r="E37" s="24" t="str">
        <x:v>減少手部直接接觸產品；用於清潔、精華、面膜與乳霜的衛生塗抹</x:v>
      </x:c>
      <x:c r="F37" s="25" t="str">
        <x:v>https://tw.shop.com/1898526191-p.xhtml</x:v>
      </x:c>
      <x:c r="G37" s="24" t="str">
        <x:v>材質與用途依台灣官方商品頁整理。</x:v>
      </x:c>
      <x:c r="H37" s="26" t="str">
        <x:v>若美芙™保養刷具組2026美安亞太區年度大會限時特惠品.jpg</x:v>
      </x:c>
    </x:row>
    <x:row r="38" ht="72" customHeight="1">
      <x:c r="A38" s="23" t="n">
        <x:v>31</x:v>
      </x:c>
      <x:c r="B38" s="39" t="str">
        <x:v>工具</x:v>
      </x:c>
      <x:c r="C38" s="24" t="str">
        <x:v>冰肌按摩滾輪</x:v>
      </x:c>
      <x:c r="D38" s="24" t="str">
        <x:v>冷感滾輪；台灣官方頁未標明確切金屬種類</x:v>
      </x:c>
      <x:c r="E38" s="24" t="str">
        <x:v>冰涼按摩、舒緩暫時性不適，協助保養品均勻延展</x:v>
      </x:c>
      <x:c r="F38" s="25" t="str">
        <x:v>https://tw.shop.com/1765357161-p.xhtml</x:v>
      </x:c>
      <x:c r="G38" s="24" t="str">
        <x:v>官方未明示金屬材質，因此不推測為不鏽鋼或鋁。</x:v>
      </x:c>
      <x:c r="H38" s="26" t="str">
        <x:v>若美芙™冰肌按摩滾輪.jpg</x:v>
      </x:c>
    </x:row>
    <x:row r="39" ht="72" customHeight="1">
      <x:c r="A39" s="27" t="n">
        <x:v>32</x:v>
      </x:c>
      <x:c r="B39" s="42" t="str">
        <x:v>工具</x:v>
      </x:c>
      <x:c r="C39" s="28" t="str">
        <x:v>男士虎眼石兩用按摩滾輪</x:v>
      </x:c>
      <x:c r="D39" s="28" t="str">
        <x:v>天然虎眼石（石英家族）、大小雙頭設計</x:v>
      </x:c>
      <x:c r="E39" s="28" t="str">
        <x:v>按摩臉部與頸部、提供清涼舒適感並協助保養品延展</x:v>
      </x:c>
      <x:c r="F39" s="29" t="str">
        <x:v>https://tw.shop.com/1974082136-p.xhtml</x:v>
      </x:c>
      <x:c r="G39" s="28" t="str">
        <x:v>採用實際石材名稱「虎眼石」。</x:v>
      </x:c>
      <x:c r="H39" s="30" t="str">
        <x:v>若美芙™男士虎眼石兩用按摩滾輪.jpg</x:v>
      </x:c>
    </x:row>
  </x:sheetData>
  <x:pageMargins left="0.7" right="0.7" top="0.75" bottom="0.75" header="0.3" footer="0.3"/>
  <x:tableParts count="1">
    <x:tablePart xmlns:r="http://schemas.openxmlformats.org/officeDocument/2006/relationships" r:id="R04a40204304f4091"/>
  </x:tableParts>
</x:worksheet>
</file>

<file path=xl/worksheets/sheet2.xml><?xml version="1.0" encoding="utf-8"?>
<x:worksheet xmlns:x="http://schemas.openxmlformats.org/spreadsheetml/2006/main">
  <x:sheetPr>
    <x:tabColor rgb="FF7B87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57" hidden="0" customWidth="1"/>
    <x:col min="3" max="3" width="31" hidden="0" customWidth="1"/>
    <x:col min="4" max="4" width="50" hidden="0" customWidth="1"/>
  </x:cols>
  <x:sheetData>
    <x:row r="2" ht="24" customHeight="1">
      <x:c r="A2" s="1" t="str">
        <x:v>查核說明與來源</x:v>
      </x:c>
      <x:c r="B2" s="1"/>
      <x:c r="C2" s="1"/>
      <x:c r="D2" s="1"/>
    </x:row>
    <x:row r="3" ht="34" customHeight="1">
      <x:c r="A3" s="2" t="str">
        <x:v>整理原則：以台灣官方商品頁為主要依據，必要時以其他地區官方頁交叉複核；不推測官方未揭露的成分或材質。</x:v>
      </x:c>
      <x:c r="B3" s="2"/>
      <x:c r="C3" s="2"/>
      <x:c r="D3" s="2"/>
    </x:row>
    <x:row r="4">
      <x:c r="A4" s="3"/>
      <x:c r="B4" s="3"/>
      <x:c r="C4" s="3"/>
      <x:c r="D4" s="3"/>
    </x:row>
    <x:row r="6" ht="28" customHeight="1">
      <x:c r="A6" s="47" t="str">
        <x:v>項目</x:v>
      </x:c>
      <x:c r="B6" s="47" t="str">
        <x:v>內容</x:v>
      </x:c>
    </x:row>
    <x:row r="7" ht="30" customHeight="1">
      <x:c r="A7" s="48" t="str">
        <x:v>查核日期</x:v>
      </x:c>
      <x:c r="B7" s="24" t="str">
        <x:v>2026-09-17</x:v>
      </x:c>
    </x:row>
    <x:row r="8" ht="30" customHeight="1">
      <x:c r="A8" s="48" t="str">
        <x:v>商品筆數</x:v>
      </x:c>
      <x:c r="B8" s="24" t="n">
        <x:v>32</x:v>
      </x:c>
    </x:row>
    <x:row r="9" ht="30" customHeight="1">
      <x:c r="A9" s="48" t="str">
        <x:v>分類統計</x:v>
      </x:c>
      <x:c r="B9" s="24" t="str">
        <x:v>26個單品配方、2個組合、4個工具</x:v>
      </x:c>
    </x:row>
    <x:row r="10" ht="30" customHeight="1">
      <x:c r="A10" s="48" t="str">
        <x:v>主要來源</x:v>
      </x:c>
      <x:c r="B10" s="24" t="str">
        <x:v>台灣 SHOP.COM 若美芙品牌頁及各商品官方頁</x:v>
      </x:c>
    </x:row>
    <x:row r="13" ht="28" customHeight="1">
      <x:c r="A13" s="47" t="str">
        <x:v>查核重點</x:v>
      </x:c>
      <x:c r="B13" s="47" t="str">
        <x:v>說明</x:v>
      </x:c>
    </x:row>
    <x:row r="14" ht="42" customHeight="1">
      <x:c r="A14" s="48" t="str">
        <x:v>清單一致性</x:v>
      </x:c>
      <x:c r="B14" s="24" t="str">
        <x:v>32項商品已與「若美芙產品照片」資料夾中的32張產品照片逐項核對。</x:v>
      </x:c>
    </x:row>
    <x:row r="15" ht="42" customHeight="1">
      <x:c r="A15" s="48" t="str">
        <x:v>杏仁酸濃度</x:v>
      </x:c>
      <x:c r="B15" s="24" t="str">
        <x:v>台灣版標示6%杏仁酸＋2%乳酸；因海外頁文字不同，表格採台灣販售版本。</x:v>
      </x:c>
    </x:row>
    <x:row r="16" ht="42" customHeight="1">
      <x:c r="A16" s="48" t="str">
        <x:v>B3與維他命C濃度</x:v>
      </x:c>
      <x:c r="B16" s="24" t="str">
        <x:v>台灣官方FAQ分別確認菸鹼醯胺與抗壞血酸濃度為10%。</x:v>
      </x:c>
    </x:row>
    <x:row r="17" ht="42" customHeight="1">
      <x:c r="A17" s="48" t="str">
        <x:v>天然石材名稱</x:v>
      </x:c>
      <x:c r="B17" s="24" t="str">
        <x:v>粉晶與虎眼石依實際石材名稱記錄，不沿用頁面中不一致的泛稱。</x:v>
      </x:c>
    </x:row>
    <x:row r="18" ht="42" customHeight="1">
      <x:c r="A18" s="48" t="str">
        <x:v>冰肌按摩滾輪材質</x:v>
      </x:c>
      <x:c r="B18" s="24" t="str">
        <x:v>台灣官方頁未揭露確切金屬種類，因此未推測為不鏽鋼或鋁。</x:v>
      </x:c>
    </x:row>
    <x:row r="19" ht="42" customHeight="1">
      <x:c r="A19" s="48" t="str">
        <x:v>組合商品</x:v>
      </x:c>
      <x:c r="B19" s="24" t="str">
        <x:v>雙重淡斑美白組與亮妍超值組為既有商品的組合，不視為獨立配方。</x:v>
      </x:c>
    </x:row>
    <x:row r="20" ht="42" customHeight="1">
      <x:c r="A20" s="48" t="str">
        <x:v>功效範圍</x:v>
      </x:c>
      <x:c r="B20" s="24" t="str">
        <x:v>主要功能為官方化妝品／工具用途說明，不代表醫療療效。</x:v>
      </x:c>
    </x:row>
    <x:row r="23" ht="28" customHeight="1">
      <x:c r="A23" s="47" t="str">
        <x:v>來源類型</x:v>
      </x:c>
      <x:c r="B23" s="47" t="str">
        <x:v>官方頁面</x:v>
      </x:c>
      <x:c r="C23" s="47" t="str">
        <x:v>用途</x:v>
      </x:c>
      <x:c r="D23" s="47" t="str">
        <x:v>連結</x:v>
      </x:c>
    </x:row>
    <x:row r="24" ht="46" customHeight="1">
      <x:c r="A24" s="24" t="str">
        <x:v>主要來源</x:v>
      </x:c>
      <x:c r="B24" s="24" t="str">
        <x:v>台灣 SHOP.COM 若美芙品牌頁</x:v>
      </x:c>
      <x:c r="C24" s="24" t="str">
        <x:v>清單與台灣販售資訊</x:v>
      </x:c>
      <x:c r="D24" s="25" t="str">
        <x:v>https://tw.shop.com/%E8%8B%A5%E7%BE%8E%E8%8A%99+-v248701-c+.xhtml</x:v>
      </x:c>
    </x:row>
    <x:row r="25" ht="46" customHeight="1">
      <x:c r="A25" s="24" t="str">
        <x:v>交叉複核</x:v>
      </x:c>
      <x:c r="B25" s="24" t="str">
        <x:v>美國官方 NAD 商品頁</x:v>
      </x:c>
      <x:c r="C25" s="24" t="str">
        <x:v>NAD青春霜成分與定位</x:v>
      </x:c>
      <x:c r="D25" s="25" t="str">
        <x:v>https://www.shop.com/2003383204-p.xhtml</x:v>
      </x:c>
    </x:row>
    <x:row r="26" ht="46" customHeight="1">
      <x:c r="A26" s="24" t="str">
        <x:v>交叉複核</x:v>
      </x:c>
      <x:c r="B26" s="24" t="str">
        <x:v>美國官方維他命C商品頁</x:v>
      </x:c>
      <x:c r="C26" s="24" t="str">
        <x:v>維他命C精華資訊</x:v>
      </x:c>
      <x:c r="D26" s="25" t="str">
        <x:v>https://www.shop.com/1840808778-p.xhtml</x:v>
      </x:c>
    </x:row>
    <x:row r="27" ht="46" customHeight="1">
      <x:c r="A27" s="24" t="str">
        <x:v>交叉複核</x:v>
      </x:c>
      <x:c r="B27" s="24" t="str">
        <x:v>澳洲官方護手身體霜商品頁</x:v>
      </x:c>
      <x:c r="C27" s="24" t="str">
        <x:v>核心滋潤成分</x:v>
      </x:c>
      <x:c r="D27" s="25" t="str">
        <x:v>https://au.shop.com/896297618-p.xhtml</x:v>
      </x:c>
    </x:row>
    <x:row r="28" ht="46" customHeight="1">
      <x:c r="A28" s="24" t="str">
        <x:v>交叉複核</x:v>
      </x:c>
      <x:c r="B28" s="24" t="str">
        <x:v>美國官方亮妍保濕化妝水商品頁</x:v>
      </x:c>
      <x:c r="C28" s="24" t="str">
        <x:v>化妝水成分與用途</x:v>
      </x:c>
      <x:c r="D28" s="25" t="str">
        <x:v>https://www.shop.com/894127080-p.xhtml</x:v>
      </x:c>
    </x:row>
    <x:row r="29" ht="46" customHeight="1">
      <x:c r="A29" s="24" t="str">
        <x:v>交叉複核</x:v>
      </x:c>
      <x:c r="B29" s="24" t="str">
        <x:v>馬來西亞官方防曬商品頁</x:v>
      </x:c>
      <x:c r="C29" s="24" t="str">
        <x:v>防曬用途與注意事項</x:v>
      </x:c>
      <x:c r="D29" s="25" t="str">
        <x:v>https://my.shop.com/ldv-sunscreen-v.xhtml</x:v>
      </x:c>
    </x:row>
  </x:sheetData>
  <x:pageMargins left="0.7" right="0.7" top="0.75" bottom="0.75" header="0.3" footer="0.3"/>
</x:worksheet>
</file>